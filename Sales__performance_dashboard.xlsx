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kumar\Desktop\sales_dashboard_project\"/>
    </mc:Choice>
  </mc:AlternateContent>
  <xr:revisionPtr revIDLastSave="0" documentId="8_{AE0782F7-7B47-41B1-97FC-AB30E25ECD8C}" xr6:coauthVersionLast="47" xr6:coauthVersionMax="47" xr10:uidLastSave="{00000000-0000-0000-0000-000000000000}"/>
  <bookViews>
    <workbookView xWindow="-108" yWindow="-108" windowWidth="23256" windowHeight="12456" xr2:uid="{B7A13CBA-76E6-4DE8-B512-87D570DE98FE}"/>
  </bookViews>
  <sheets>
    <sheet name="Raw_Data" sheetId="1" r:id="rId1"/>
    <sheet name="Pivot_Analysis" sheetId="6" r:id="rId2"/>
    <sheet name="Dashboard" sheetId="9" r:id="rId3"/>
  </sheets>
  <definedNames>
    <definedName name="Slicer_City">#N/A</definedName>
    <definedName name="Slicer_Product">#N/A</definedName>
  </definedNames>
  <calcPr calcId="191029"/>
  <pivotCaches>
    <pivotCache cacheId="4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2" i="1"/>
</calcChain>
</file>

<file path=xl/sharedStrings.xml><?xml version="1.0" encoding="utf-8"?>
<sst xmlns="http://schemas.openxmlformats.org/spreadsheetml/2006/main" count="287" uniqueCount="50">
  <si>
    <t>Order_ID</t>
  </si>
  <si>
    <t>Product</t>
  </si>
  <si>
    <t>Category</t>
  </si>
  <si>
    <t>City</t>
  </si>
  <si>
    <t>Salesperson</t>
  </si>
  <si>
    <t>Quantity</t>
  </si>
  <si>
    <t>Unit_Price</t>
  </si>
  <si>
    <t>Laptop</t>
  </si>
  <si>
    <t>Electronics</t>
  </si>
  <si>
    <t>Delhi</t>
  </si>
  <si>
    <t>Mouse</t>
  </si>
  <si>
    <t>Mumbai</t>
  </si>
  <si>
    <t>Chair</t>
  </si>
  <si>
    <t>Furniture</t>
  </si>
  <si>
    <t>Keyboard</t>
  </si>
  <si>
    <t>Pune</t>
  </si>
  <si>
    <t>Desk</t>
  </si>
  <si>
    <t>Bangalore</t>
  </si>
  <si>
    <t>Customer_Type</t>
  </si>
  <si>
    <t>Payment_Mode</t>
  </si>
  <si>
    <t>Retail</t>
  </si>
  <si>
    <t>UPI</t>
  </si>
  <si>
    <t>Cash</t>
  </si>
  <si>
    <t>Wholesale</t>
  </si>
  <si>
    <t>Debit Card</t>
  </si>
  <si>
    <t>Bank Transfer</t>
  </si>
  <si>
    <t>Credit Card</t>
  </si>
  <si>
    <t>Monitor</t>
  </si>
  <si>
    <t>Hyderabad</t>
  </si>
  <si>
    <t>Chennai</t>
  </si>
  <si>
    <t>Row Labels</t>
  </si>
  <si>
    <t>(blank)</t>
  </si>
  <si>
    <t>Grand Total</t>
  </si>
  <si>
    <t>Kolkata</t>
  </si>
  <si>
    <t>Jaipur</t>
  </si>
  <si>
    <t>Ahmedabad</t>
  </si>
  <si>
    <t>Lucknow</t>
  </si>
  <si>
    <t xml:space="preserve">              Date</t>
  </si>
  <si>
    <t xml:space="preserve"> Sales</t>
  </si>
  <si>
    <t>Sum of  Sales</t>
  </si>
  <si>
    <t>Amit</t>
  </si>
  <si>
    <t>Randhir</t>
  </si>
  <si>
    <t>Abhi</t>
  </si>
  <si>
    <t>Viku</t>
  </si>
  <si>
    <t>Om</t>
  </si>
  <si>
    <t>Liza</t>
  </si>
  <si>
    <t>Arya</t>
  </si>
  <si>
    <t>Omkar</t>
  </si>
  <si>
    <t>Omi</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</si>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</sst>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center"/>
    </xf>
  </cellXfs>
  <cellStyles count="1">
    <cellStyle name="Normal" xfId="0" builtinId="0"/>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[Sales__performance_dashboard.xlsx]Pivot_Analysis!PivotTable6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Pivot_Analysis!$A$4:$A$10</c:f>
              <c:strCache>
                <c:ptCount val="6"/>
                <c:pt idx="0">
                  <c:v>Laptop</c:v>
                </c:pt>
                <c:pt idx="1">
                  <c:v>Monitor</c:v>
                </c:pt>
                <c:pt idx="2">
                  <c:v>Desk</c:v>
                </c:pt>
                <c:pt idx="3">
                  <c:v>Chair</c:v>
                </c:pt>
                <c:pt idx="4">
                  <c:v>Keyboard</c:v>
                </c:pt>
                <c:pt idx="5">
                  <c:v>Mouse</c:v>
                </c:pt>
              </c:strCache>
            </c:strRef>
          </c:cat>
          <c:val>
            <c:numRef>
              <c:f>Pivot_Analysis!$B$4:$B$10</c:f>
              <c:numCache>
                <c:formatCode>General</c:formatCode>
                <c:ptCount val="6"/>
                <c:pt idx="0">
                  <c:v>700000</c:v>
                </c:pt>
                <c:pt idx="1">
                  <c:v>195000</c:v>
                </c:pt>
                <c:pt idx="2">
                  <c:v>104000</c:v>
                </c:pt>
                <c:pt idx="3">
                  <c:v>92500</c:v>
                </c:pt>
                <c:pt idx="4">
                  <c:v>37200</c:v>
                </c:pt>
                <c:pt idx="5">
                  <c:v>25000</c:v>
                </c:pt>
              </c:numCache>
            </c:numRef>
          </c:val>
          <c:extLst>
            <c:ext xmlns:c16="http://schemas.microsoft.com/office/drawing/2014/chart" uri="{C3380CC4-5D6E-409C-BE32-E72D297353CC}">
              <c16:uniqueId val="{00000000-4A55-4417-9B91-0BC99B171FD9}"/>
            </c:ext>
          </c:extLst>
        </c:ser>
        <c:dLbls>
          <c:dLblPos val="outEnd"/>
          <c:showLegendKey val="0"/>
          <c:showVal val="1"/>
          <c:showCatName val="0"/>
          <c:showSerName val="0"/>
          <c:showPercent val="0"/>
          <c:showBubbleSize val="0"/>
        </c:dLbls>
        <c:gapWidth val="219"/>
        <c:overlap val="-27"/>
        <c:axId val="976458448"/>
        <c:axId val="976453168"/>
      </c:barChart>
      <c:catAx>
        <c:axId val="97645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453168"/>
        <c:crosses val="autoZero"/>
        <c:auto val="1"/>
        <c:lblAlgn val="ctr"/>
        <c:lblOffset val="100"/>
        <c:noMultiLvlLbl val="0"/>
      </c:catAx>
      <c:valAx>
        <c:axId val="976453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45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[Sales__performance_dashboard.xlsx]Pivot_Analysis!PivotTable9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Pivot_Analysis!$E$3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Pivot_Analysis!$D$4:$D$15</c:f>
              <c:strCache>
                <c:ptCount val="11"/>
                <c:pt idx="0">
                  <c:v>Delhi</c:v>
                </c:pt>
                <c:pt idx="1">
                  <c:v>Kolkata</c:v>
                </c:pt>
                <c:pt idx="2">
                  <c:v>Ahmedabad</c:v>
                </c:pt>
                <c:pt idx="3">
                  <c:v>Mumbai</c:v>
                </c:pt>
                <c:pt idx="4">
                  <c:v>Pune</c:v>
                </c:pt>
                <c:pt idx="5">
                  <c:v>Hyderabad</c:v>
                </c:pt>
                <c:pt idx="6">
                  <c:v>Chennai</c:v>
                </c:pt>
                <c:pt idx="7">
                  <c:v>Bangalore</c:v>
                </c:pt>
                <c:pt idx="8">
                  <c:v>Lucknow</c:v>
                </c:pt>
                <c:pt idx="9">
                  <c:v>Jaipur</c:v>
                </c:pt>
                <c:pt idx="10">
                  <c:v>(blank)</c:v>
                </c:pt>
              </c:strCache>
            </c:strRef>
          </c:cat>
          <c:val>
            <c:numRef>
              <c:f>Pivot_Analysis!$E$4:$E$15</c:f>
              <c:numCache>
                <c:formatCode>General</c:formatCode>
                <c:ptCount val="11"/>
                <c:pt idx="0">
                  <c:v>286000</c:v>
                </c:pt>
                <c:pt idx="1">
                  <c:v>215000</c:v>
                </c:pt>
                <c:pt idx="2">
                  <c:v>140000</c:v>
                </c:pt>
                <c:pt idx="3">
                  <c:v>123000</c:v>
                </c:pt>
                <c:pt idx="4">
                  <c:v>118500</c:v>
                </c:pt>
                <c:pt idx="5">
                  <c:v>73500</c:v>
                </c:pt>
                <c:pt idx="6">
                  <c:v>52200</c:v>
                </c:pt>
                <c:pt idx="7">
                  <c:v>49800</c:v>
                </c:pt>
                <c:pt idx="8">
                  <c:v>49300</c:v>
                </c:pt>
                <c:pt idx="9">
                  <c:v>46400</c:v>
                </c:pt>
              </c:numCache>
            </c:numRef>
          </c:val>
          <c:extLst>
            <c:ext xmlns:c16="http://schemas.microsoft.com/office/drawing/2014/chart" uri="{C3380CC4-5D6E-409C-BE32-E72D297353CC}">
              <c16:uniqueId val="{00000000-AA28-4164-847A-7DCF9CE4833E}"/>
            </c:ext>
          </c:extLst>
        </c:ser>
        <c:dLbls>
          <c:dLblPos val="outEnd"/>
          <c:showLegendKey val="0"/>
          <c:showVal val="1"/>
          <c:showCatName val="0"/>
          <c:showSerName val="0"/>
          <c:showPercent val="0"/>
          <c:showBubbleSize val="0"/>
        </c:dLbls>
        <c:gapWidth val="219"/>
        <c:overlap val="-27"/>
        <c:axId val="976461328"/>
        <c:axId val="976470448"/>
      </c:barChart>
      <c:catAx>
        <c:axId val="97646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470448"/>
        <c:crosses val="autoZero"/>
        <c:auto val="1"/>
        <c:lblAlgn val="ctr"/>
        <c:lblOffset val="100"/>
        <c:noMultiLvlLbl val="0"/>
      </c:catAx>
      <c:valAx>
        <c:axId val="976470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46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[Sales__performance_dashboard.xlsx]Pivot_Analysis!PivotTable10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generated by 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91985559961141"/>
          <c:y val="0.28386712709597745"/>
          <c:w val="0.68669147296338062"/>
          <c:h val="0.41235277089501909"/>
        </c:manualLayout>
      </c:layout>
      <c:barChart>
        <c:barDir val="col"/>
        <c:grouping val="clustered"/>
        <c:varyColors val="0"/>
        <c:ser>
          <c:idx val="0"/>
          <c:order val="0"/>
          <c:tx>
            <c:strRef>
              <c:f>Pivot_Analysis!$H$3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Pivot_Analysis!$G$4:$G$13</c:f>
              <c:strCache>
                <c:ptCount val="9"/>
                <c:pt idx="0">
                  <c:v>Amit</c:v>
                </c:pt>
                <c:pt idx="1">
                  <c:v>Arya</c:v>
                </c:pt>
                <c:pt idx="2">
                  <c:v>Randhir</c:v>
                </c:pt>
                <c:pt idx="3">
                  <c:v>Liza</c:v>
                </c:pt>
                <c:pt idx="4">
                  <c:v>Omkar</c:v>
                </c:pt>
                <c:pt idx="5">
                  <c:v>Viku</c:v>
                </c:pt>
                <c:pt idx="6">
                  <c:v>Om</c:v>
                </c:pt>
                <c:pt idx="7">
                  <c:v>Omi</c:v>
                </c:pt>
                <c:pt idx="8">
                  <c:v>Abhi</c:v>
                </c:pt>
              </c:strCache>
            </c:strRef>
          </c:cat>
          <c:val>
            <c:numRef>
              <c:f>Pivot_Analysis!$H$4:$H$13</c:f>
              <c:numCache>
                <c:formatCode>General</c:formatCode>
                <c:ptCount val="9"/>
                <c:pt idx="0">
                  <c:v>814400</c:v>
                </c:pt>
                <c:pt idx="1">
                  <c:v>150000</c:v>
                </c:pt>
                <c:pt idx="2">
                  <c:v>53000</c:v>
                </c:pt>
                <c:pt idx="3">
                  <c:v>40000</c:v>
                </c:pt>
                <c:pt idx="4">
                  <c:v>32000</c:v>
                </c:pt>
                <c:pt idx="5">
                  <c:v>23500</c:v>
                </c:pt>
                <c:pt idx="6">
                  <c:v>18000</c:v>
                </c:pt>
                <c:pt idx="7">
                  <c:v>12000</c:v>
                </c:pt>
                <c:pt idx="8">
                  <c:v>10800</c:v>
                </c:pt>
              </c:numCache>
            </c:numRef>
          </c:val>
          <c:extLst>
            <c:ext xmlns:c16="http://schemas.microsoft.com/office/drawing/2014/chart" uri="{C3380CC4-5D6E-409C-BE32-E72D297353CC}">
              <c16:uniqueId val="{00000000-D7F7-4EBB-97AD-9FE50D53A508}"/>
            </c:ext>
          </c:extLst>
        </c:ser>
        <c:dLbls>
          <c:dLblPos val="outEnd"/>
          <c:showLegendKey val="0"/>
          <c:showVal val="1"/>
          <c:showCatName val="0"/>
          <c:showSerName val="0"/>
          <c:showPercent val="0"/>
          <c:showBubbleSize val="0"/>
        </c:dLbls>
        <c:gapWidth val="219"/>
        <c:overlap val="-27"/>
        <c:axId val="999150800"/>
        <c:axId val="999151760"/>
      </c:barChart>
      <c:catAx>
        <c:axId val="99915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151760"/>
        <c:crosses val="autoZero"/>
        <c:auto val="1"/>
        <c:lblAlgn val="ctr"/>
        <c:lblOffset val="100"/>
        <c:noMultiLvlLbl val="0"/>
      </c:catAx>
      <c:valAx>
        <c:axId val="99915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15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585537</xdr:colOff>
      <xdr:row>2</xdr:row>
      <xdr:rowOff>175260</xdr:rowOff>
    </xdr:from>
    <xdr:to>
      <xdr:col>3</xdr:col>
      <xdr:colOff>593157</xdr:colOff>
      <xdr:row>7</xdr:row>
      <xdr:rowOff>175260</xdr:rowOff>
    </xdr:to>
    <xdr:sp macro="" textlink="">
      <xdr:nvSpPr>
        <xdr:cNvPr id="2" name="Rectangle 1">
          <a:extLst>
            <a:ext uri="{FF2B5EF4-FFF2-40B4-BE49-F238E27FC236}">
              <a16:creationId xmlns:a16="http://schemas.microsoft.com/office/drawing/2014/main" id="{B0369EC0-76D6-79F2-63C7-521371979EBA}"/>
            </a:ext>
          </a:extLst>
        </xdr:cNvPr>
        <xdr:cNvSpPr/>
      </xdr:nvSpPr>
      <xdr:spPr>
        <a:xfrm>
          <a:off x="585537" y="544228"/>
          <a:ext cx="1836420" cy="922421"/>
        </a:xfrm>
        <a:prstGeom prst="rect">
          <a:avLst/>
        </a:prstGeom>
        <a:solidFill>
          <a:srgbClr val="00B050"/>
        </a:solidFill>
        <a:ln>
          <a:solidFill>
            <a:srgbClr val="00B0F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aseline="0"/>
            <a:t> </a:t>
          </a:r>
        </a:p>
        <a:p>
          <a:pPr algn="l"/>
          <a:r>
            <a:rPr lang="en-IN" sz="1200" b="1" baseline="0"/>
            <a:t>Total Revenue </a:t>
          </a:r>
        </a:p>
        <a:p>
          <a:pPr algn="l"/>
          <a:r>
            <a:rPr lang="en-IN" sz="2000" b="1" baseline="0"/>
            <a:t>1,153,700</a:t>
          </a:r>
        </a:p>
        <a:p>
          <a:pPr algn="l"/>
          <a:endParaRPr lang="en-IN" sz="1200" b="1"/>
        </a:p>
      </xdr:txBody>
    </xdr:sp>
    <xdr:clientData/>
  </xdr:twoCellAnchor>
  <xdr:twoCellAnchor>
    <xdr:from>
      <xdr:col>6</xdr:col>
      <xdr:colOff>15240</xdr:colOff>
      <xdr:row>3</xdr:row>
      <xdr:rowOff>15240</xdr:rowOff>
    </xdr:from>
    <xdr:to>
      <xdr:col>9</xdr:col>
      <xdr:colOff>7620</xdr:colOff>
      <xdr:row>8</xdr:row>
      <xdr:rowOff>7620</xdr:rowOff>
    </xdr:to>
    <xdr:sp macro="" textlink="">
      <xdr:nvSpPr>
        <xdr:cNvPr id="3" name="Rectangle 2">
          <a:extLst>
            <a:ext uri="{FF2B5EF4-FFF2-40B4-BE49-F238E27FC236}">
              <a16:creationId xmlns:a16="http://schemas.microsoft.com/office/drawing/2014/main" id="{726E42A7-57A7-E3CD-8DFE-D798E9061FAF}"/>
            </a:ext>
          </a:extLst>
        </xdr:cNvPr>
        <xdr:cNvSpPr/>
      </xdr:nvSpPr>
      <xdr:spPr>
        <a:xfrm>
          <a:off x="3672840" y="563880"/>
          <a:ext cx="1821180" cy="906780"/>
        </a:xfrm>
        <a:prstGeom prst="rect">
          <a:avLst/>
        </a:prstGeom>
        <a:solidFill>
          <a:srgbClr val="00B0F0"/>
        </a:solid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200" b="1"/>
        </a:p>
        <a:p>
          <a:pPr algn="l"/>
          <a:r>
            <a:rPr lang="en-IN" sz="1200" b="1"/>
            <a:t>Total</a:t>
          </a:r>
          <a:r>
            <a:rPr lang="en-IN" sz="1200" b="1" baseline="0"/>
            <a:t> Orders </a:t>
          </a:r>
        </a:p>
        <a:p>
          <a:pPr algn="l"/>
          <a:r>
            <a:rPr lang="en-IN" sz="2000" b="1" baseline="0"/>
            <a:t>40</a:t>
          </a:r>
          <a:endParaRPr lang="en-IN" sz="2000" b="1"/>
        </a:p>
      </xdr:txBody>
    </xdr:sp>
    <xdr:clientData/>
  </xdr:twoCellAnchor>
  <xdr:twoCellAnchor>
    <xdr:from>
      <xdr:col>11</xdr:col>
      <xdr:colOff>22860</xdr:colOff>
      <xdr:row>3</xdr:row>
      <xdr:rowOff>15240</xdr:rowOff>
    </xdr:from>
    <xdr:to>
      <xdr:col>14</xdr:col>
      <xdr:colOff>16042</xdr:colOff>
      <xdr:row>8</xdr:row>
      <xdr:rowOff>48126</xdr:rowOff>
    </xdr:to>
    <xdr:sp macro="" textlink="">
      <xdr:nvSpPr>
        <xdr:cNvPr id="4" name="Rectangle 3">
          <a:extLst>
            <a:ext uri="{FF2B5EF4-FFF2-40B4-BE49-F238E27FC236}">
              <a16:creationId xmlns:a16="http://schemas.microsoft.com/office/drawing/2014/main" id="{934B9FF8-E040-B30B-E652-2C082F0BB154}"/>
            </a:ext>
          </a:extLst>
        </xdr:cNvPr>
        <xdr:cNvSpPr/>
      </xdr:nvSpPr>
      <xdr:spPr>
        <a:xfrm>
          <a:off x="6728460" y="568693"/>
          <a:ext cx="1821982" cy="955307"/>
        </a:xfrm>
        <a:prstGeom prst="rect">
          <a:avLst/>
        </a:prstGeom>
        <a:solidFill>
          <a:srgbClr val="FFC0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200" b="1"/>
        </a:p>
        <a:p>
          <a:pPr algn="l"/>
          <a:r>
            <a:rPr lang="en-IN" sz="1200" b="1"/>
            <a:t>Average Revenue </a:t>
          </a:r>
        </a:p>
        <a:p>
          <a:pPr algn="l"/>
          <a:r>
            <a:rPr lang="en-IN" sz="2000" b="1"/>
            <a:t>28,842.5</a:t>
          </a:r>
        </a:p>
      </xdr:txBody>
    </xdr:sp>
    <xdr:clientData/>
  </xdr:twoCellAnchor>
  <xdr:twoCellAnchor>
    <xdr:from>
      <xdr:col>0</xdr:col>
      <xdr:colOff>207344</xdr:colOff>
      <xdr:row>10</xdr:row>
      <xdr:rowOff>8021</xdr:rowOff>
    </xdr:from>
    <xdr:to>
      <xdr:col>7</xdr:col>
      <xdr:colOff>186</xdr:colOff>
      <xdr:row>23</xdr:row>
      <xdr:rowOff>61183</xdr:rowOff>
    </xdr:to>
    <xdr:graphicFrame macro="">
      <xdr:nvGraphicFramePr>
        <xdr:cNvPr id="5" name="Chart 4">
          <a:extLst>
            <a:ext uri="{FF2B5EF4-FFF2-40B4-BE49-F238E27FC236}">
              <a16:creationId xmlns:a16="http://schemas.microsoft.com/office/drawing/2014/main" id="{AE3F7702-44AE-491C-A945-67813EE61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16042</xdr:colOff>
      <xdr:row>9</xdr:row>
      <xdr:rowOff>152401</xdr:rowOff>
    </xdr:from>
    <xdr:to>
      <xdr:col>16</xdr:col>
      <xdr:colOff>24063</xdr:colOff>
      <xdr:row>23</xdr:row>
      <xdr:rowOff>24063</xdr:rowOff>
    </xdr:to>
    <xdr:graphicFrame macro="">
      <xdr:nvGraphicFramePr>
        <xdr:cNvPr id="6" name="Chart 5">
          <a:extLst>
            <a:ext uri="{FF2B5EF4-FFF2-40B4-BE49-F238E27FC236}">
              <a16:creationId xmlns:a16="http://schemas.microsoft.com/office/drawing/2014/main" id="{4E5618FE-D6CC-40D2-B27B-9160FC0ABD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357404</xdr:colOff>
      <xdr:row>24</xdr:row>
      <xdr:rowOff>2520</xdr:rowOff>
    </xdr:from>
    <xdr:to>
      <xdr:col>11</xdr:col>
      <xdr:colOff>118171</xdr:colOff>
      <xdr:row>37</xdr:row>
      <xdr:rowOff>108844</xdr:rowOff>
    </xdr:to>
    <xdr:graphicFrame macro="">
      <xdr:nvGraphicFramePr>
        <xdr:cNvPr id="7" name="Chart 6">
          <a:extLst>
            <a:ext uri="{FF2B5EF4-FFF2-40B4-BE49-F238E27FC236}">
              <a16:creationId xmlns:a16="http://schemas.microsoft.com/office/drawing/2014/main" id="{6347CE5C-2534-433F-9CDE-F4E530A4D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38</xdr:row>
      <xdr:rowOff>0</xdr:rowOff>
    </xdr:from>
    <xdr:to>
      <xdr:col>4</xdr:col>
      <xdr:colOff>0</xdr:colOff>
      <xdr:row>51</xdr:row>
      <xdr:rowOff>68680</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E6ABB579-F301-476F-AEEF-AFD1E0790D0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09600" y="7010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505326</xdr:colOff>
      <xdr:row>38</xdr:row>
      <xdr:rowOff>24063</xdr:rowOff>
    </xdr:from>
    <xdr:to>
      <xdr:col>11</xdr:col>
      <xdr:colOff>505326</xdr:colOff>
      <xdr:row>51</xdr:row>
      <xdr:rowOff>92743</xdr:rowOff>
    </xdr:to>
    <mc:AlternateContent xmlns:mc="http://schemas.openxmlformats.org/markup-compatibility/2006" xmlns:a14="http://schemas.microsoft.com/office/drawing/2010/main">
      <mc:Choice Requires="a14">
        <xdr:graphicFrame macro="">
          <xdr:nvGraphicFramePr>
            <xdr:cNvPr id="12" name="Product">
              <a:extLst>
                <a:ext uri="{FF2B5EF4-FFF2-40B4-BE49-F238E27FC236}">
                  <a16:creationId xmlns:a16="http://schemas.microsoft.com/office/drawing/2014/main" id="{6FFB1AA4-3641-4963-8677-A8C4C663236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382126" y="703446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kumar" refreshedDate="46194.512313888888" createdVersion="8" refreshedVersion="8" minRefreshableVersion="3" recordCount="41" xr:uid="{2E7D102C-2DAA-43E2-962D-5506554616BE}">
  <cacheSource type="worksheet">
    <worksheetSource ref="A1:K1048576" sheet="Raw_Data"/>
  </cacheSource>
  <cacheFields count="11">
    <cacheField name="Order_ID" numFmtId="0">
      <sharedItems containsString="0" containsBlank="1" containsNumber="1" containsInteger="1" minValue="1001" maxValue="1040"/>
    </cacheField>
    <cacheField name="              Date" numFmtId="0">
      <sharedItems containsNonDate="0" containsDate="1" containsString="0" containsBlank="1" minDate="2026-01-01T00:00:00" maxDate="2026-02-10T00:00:00"/>
    </cacheField>
    <cacheField name="Product" numFmtId="0">
      <sharedItems containsBlank="1" count="7">
        <s v="Laptop"/>
        <s v="Mouse"/>
        <s v="Chair"/>
        <s v="Keyboard"/>
        <s v="Desk"/>
        <s v="Monitor"/>
        <m/>
      </sharedItems>
    </cacheField>
    <cacheField name="Category" numFmtId="0">
      <sharedItems containsBlank="1"/>
    </cacheField>
    <cacheField name="City" numFmtId="0">
      <sharedItems containsBlank="1" count="11">
        <s v="Delhi"/>
        <s v="Mumbai"/>
        <s v="Pune"/>
        <s v="Bangalore"/>
        <s v="Hyderabad"/>
        <s v="Chennai"/>
        <s v="Kolkata"/>
        <s v="Jaipur"/>
        <s v="Ahmedabad"/>
        <s v="Lucknow"/>
        <m/>
      </sharedItems>
    </cacheField>
    <cacheField name="Salesperson" numFmtId="0">
      <sharedItems containsBlank="1" count="30">
        <s v="Amit"/>
        <s v="Om"/>
        <s v="Viku"/>
        <s v="Abhi"/>
        <s v="Randhir"/>
        <s v="Liza"/>
        <s v="Arya"/>
        <s v="Omkar"/>
        <s v="Omi"/>
        <m/>
        <s v="Salesperson_1" u="1"/>
        <s v="Salesperson_2" u="1"/>
        <s v="Salesperson_3" u="1"/>
        <s v="Salesperson_4" u="1"/>
        <s v="Salesperson_5" u="1"/>
        <s v="Salesperson_6" u="1"/>
        <s v="Salesperson_7" u="1"/>
        <s v="Salesperson_8" u="1"/>
        <s v="Salesperson_9" u="1"/>
        <s v="Salesperson_10" u="1"/>
        <s v="Salesperson_11" u="1"/>
        <s v="Salesperson_12" u="1"/>
        <s v="Salesperson_13" u="1"/>
        <s v="Salesperson_14" u="1"/>
        <s v="Salesperson_15" u="1"/>
        <s v="Salesperson_16" u="1"/>
        <s v="Salesperson_17" u="1"/>
        <s v="Salesperson_18" u="1"/>
        <s v="Salesperson_19" u="1"/>
        <s v="Salesperson_20" u="1"/>
      </sharedItems>
    </cacheField>
    <cacheField name="Customer_Type" numFmtId="0">
      <sharedItems containsBlank="1"/>
    </cacheField>
    <cacheField name="Payment_Mode" numFmtId="0">
      <sharedItems containsBlank="1"/>
    </cacheField>
    <cacheField name="Quantity" numFmtId="0">
      <sharedItems containsString="0" containsBlank="1" containsNumber="1" containsInteger="1" minValue="1" maxValue="12"/>
    </cacheField>
    <cacheField name="Unit_Price" numFmtId="0">
      <sharedItems containsString="0" containsBlank="1" containsNumber="1" containsInteger="1" minValue="500" maxValue="50000"/>
    </cacheField>
    <cacheField name=" Sales" numFmtId="0">
      <sharedItems containsString="0" containsBlank="1" containsNumber="1" containsInteger="1" minValue="2500" maxValue="150000"/>
    </cacheField>
  </cacheFields>
  <extLst>
    <ext xmlns:x14="http://schemas.microsoft.com/office/spreadsheetml/2009/9/main" uri="{725AE2AE-9491-48be-B2B4-4EB974FC3084}">
      <x14:pivotCacheDefinition pivotCacheId="16139782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n v="1001"/>
    <d v="2026-01-01T00:00:00"/>
    <x v="0"/>
    <s v="Electronics"/>
    <x v="0"/>
    <x v="0"/>
    <s v="Retail"/>
    <s v="UPI"/>
    <n v="2"/>
    <n v="50000"/>
    <n v="100000"/>
  </r>
  <r>
    <n v="1002"/>
    <d v="2026-01-02T00:00:00"/>
    <x v="1"/>
    <s v="Electronics"/>
    <x v="1"/>
    <x v="1"/>
    <s v="Wholesale"/>
    <s v="Cash"/>
    <n v="5"/>
    <n v="500"/>
    <n v="2500"/>
  </r>
  <r>
    <n v="1003"/>
    <d v="2026-01-03T00:00:00"/>
    <x v="2"/>
    <s v="Furniture"/>
    <x v="2"/>
    <x v="2"/>
    <s v="Retail"/>
    <s v="Credit Card"/>
    <n v="3"/>
    <n v="2500"/>
    <n v="7500"/>
  </r>
  <r>
    <n v="1004"/>
    <d v="2026-01-04T00:00:00"/>
    <x v="3"/>
    <s v="Electronics"/>
    <x v="3"/>
    <x v="3"/>
    <s v="Retail"/>
    <s v="Debit Card"/>
    <n v="4"/>
    <n v="1200"/>
    <n v="4800"/>
  </r>
  <r>
    <n v="1005"/>
    <d v="2026-01-05T00:00:00"/>
    <x v="4"/>
    <s v="Furniture"/>
    <x v="4"/>
    <x v="4"/>
    <s v="Wholesale"/>
    <s v="UPI"/>
    <n v="1"/>
    <n v="8000"/>
    <n v="8000"/>
  </r>
  <r>
    <n v="1006"/>
    <d v="2026-01-06T00:00:00"/>
    <x v="5"/>
    <s v="Electronics"/>
    <x v="5"/>
    <x v="5"/>
    <s v="Retail"/>
    <s v="Cash"/>
    <n v="2"/>
    <n v="15000"/>
    <n v="30000"/>
  </r>
  <r>
    <n v="1007"/>
    <d v="2026-01-07T00:00:00"/>
    <x v="0"/>
    <s v="Electronics"/>
    <x v="6"/>
    <x v="6"/>
    <s v="Wholesale"/>
    <s v="Credit Card"/>
    <n v="1"/>
    <n v="50000"/>
    <n v="50000"/>
  </r>
  <r>
    <n v="1008"/>
    <d v="2026-01-08T00:00:00"/>
    <x v="2"/>
    <s v="Furniture"/>
    <x v="7"/>
    <x v="7"/>
    <s v="Retail"/>
    <s v="UPI"/>
    <n v="4"/>
    <n v="2500"/>
    <n v="10000"/>
  </r>
  <r>
    <n v="1009"/>
    <d v="2026-01-09T00:00:00"/>
    <x v="1"/>
    <s v="Electronics"/>
    <x v="8"/>
    <x v="8"/>
    <s v="Retail"/>
    <s v="Cash"/>
    <n v="8"/>
    <n v="500"/>
    <n v="4000"/>
  </r>
  <r>
    <n v="1010"/>
    <d v="2026-01-10T00:00:00"/>
    <x v="4"/>
    <s v="Furniture"/>
    <x v="9"/>
    <x v="0"/>
    <s v="Wholesale"/>
    <s v="Bank Transfer"/>
    <n v="2"/>
    <n v="8000"/>
    <n v="16000"/>
  </r>
  <r>
    <n v="1011"/>
    <d v="2026-01-11T00:00:00"/>
    <x v="3"/>
    <s v="Electronics"/>
    <x v="0"/>
    <x v="0"/>
    <s v="Retail"/>
    <s v="Debit Card"/>
    <n v="5"/>
    <n v="1200"/>
    <n v="6000"/>
  </r>
  <r>
    <n v="1012"/>
    <d v="2026-01-12T00:00:00"/>
    <x v="0"/>
    <s v="Electronics"/>
    <x v="1"/>
    <x v="0"/>
    <s v="Wholesale"/>
    <s v="UPI"/>
    <n v="2"/>
    <n v="50000"/>
    <n v="100000"/>
  </r>
  <r>
    <n v="1013"/>
    <d v="2026-01-13T00:00:00"/>
    <x v="5"/>
    <s v="Electronics"/>
    <x v="2"/>
    <x v="0"/>
    <s v="Retail"/>
    <s v="Credit Card"/>
    <n v="3"/>
    <n v="15000"/>
    <n v="45000"/>
  </r>
  <r>
    <n v="1014"/>
    <d v="2026-01-14T00:00:00"/>
    <x v="2"/>
    <s v="Furniture"/>
    <x v="3"/>
    <x v="0"/>
    <s v="Retail"/>
    <s v="Cash"/>
    <n v="6"/>
    <n v="2500"/>
    <n v="15000"/>
  </r>
  <r>
    <n v="1015"/>
    <d v="2026-01-15T00:00:00"/>
    <x v="4"/>
    <s v="Furniture"/>
    <x v="4"/>
    <x v="0"/>
    <s v="Wholesale"/>
    <s v="UPI"/>
    <n v="2"/>
    <n v="8000"/>
    <n v="16000"/>
  </r>
  <r>
    <n v="1016"/>
    <d v="2026-01-16T00:00:00"/>
    <x v="1"/>
    <s v="Electronics"/>
    <x v="5"/>
    <x v="0"/>
    <s v="Retail"/>
    <s v="Cash"/>
    <n v="10"/>
    <n v="500"/>
    <n v="5000"/>
  </r>
  <r>
    <n v="1017"/>
    <d v="2026-01-17T00:00:00"/>
    <x v="0"/>
    <s v="Electronics"/>
    <x v="6"/>
    <x v="0"/>
    <s v="Wholesale"/>
    <s v="Credit Card"/>
    <n v="1"/>
    <n v="50000"/>
    <n v="50000"/>
  </r>
  <r>
    <n v="1018"/>
    <d v="2026-01-18T00:00:00"/>
    <x v="3"/>
    <s v="Electronics"/>
    <x v="7"/>
    <x v="0"/>
    <s v="Retail"/>
    <s v="Debit Card"/>
    <n v="7"/>
    <n v="1200"/>
    <n v="8400"/>
  </r>
  <r>
    <n v="1019"/>
    <d v="2026-01-19T00:00:00"/>
    <x v="5"/>
    <s v="Electronics"/>
    <x v="8"/>
    <x v="0"/>
    <s v="Retail"/>
    <s v="UPI"/>
    <n v="2"/>
    <n v="15000"/>
    <n v="30000"/>
  </r>
  <r>
    <n v="1020"/>
    <d v="2026-01-20T00:00:00"/>
    <x v="2"/>
    <s v="Furniture"/>
    <x v="9"/>
    <x v="1"/>
    <s v="Wholesale"/>
    <s v="Bank Transfer"/>
    <n v="5"/>
    <n v="2500"/>
    <n v="12500"/>
  </r>
  <r>
    <n v="1021"/>
    <d v="2026-01-21T00:00:00"/>
    <x v="0"/>
    <s v="Electronics"/>
    <x v="0"/>
    <x v="0"/>
    <s v="Retail"/>
    <s v="UPI"/>
    <n v="3"/>
    <n v="50000"/>
    <n v="150000"/>
  </r>
  <r>
    <n v="1022"/>
    <d v="2026-01-22T00:00:00"/>
    <x v="1"/>
    <s v="Electronics"/>
    <x v="1"/>
    <x v="1"/>
    <s v="Retail"/>
    <s v="Cash"/>
    <n v="6"/>
    <n v="500"/>
    <n v="3000"/>
  </r>
  <r>
    <n v="1023"/>
    <d v="2026-01-23T00:00:00"/>
    <x v="4"/>
    <s v="Furniture"/>
    <x v="2"/>
    <x v="2"/>
    <s v="Wholesale"/>
    <s v="Credit Card"/>
    <n v="2"/>
    <n v="8000"/>
    <n v="16000"/>
  </r>
  <r>
    <n v="1024"/>
    <d v="2026-01-24T00:00:00"/>
    <x v="3"/>
    <s v="Electronics"/>
    <x v="3"/>
    <x v="3"/>
    <s v="Retail"/>
    <s v="Debit Card"/>
    <n v="5"/>
    <n v="1200"/>
    <n v="6000"/>
  </r>
  <r>
    <n v="1025"/>
    <d v="2026-01-25T00:00:00"/>
    <x v="5"/>
    <s v="Electronics"/>
    <x v="4"/>
    <x v="4"/>
    <s v="Retail"/>
    <s v="UPI"/>
    <n v="3"/>
    <n v="15000"/>
    <n v="45000"/>
  </r>
  <r>
    <n v="1026"/>
    <d v="2026-01-26T00:00:00"/>
    <x v="2"/>
    <s v="Furniture"/>
    <x v="5"/>
    <x v="5"/>
    <s v="Wholesale"/>
    <s v="Cash"/>
    <n v="4"/>
    <n v="2500"/>
    <n v="10000"/>
  </r>
  <r>
    <n v="1027"/>
    <d v="2026-01-27T00:00:00"/>
    <x v="0"/>
    <s v="Electronics"/>
    <x v="6"/>
    <x v="6"/>
    <s v="Retail"/>
    <s v="Credit Card"/>
    <n v="2"/>
    <n v="50000"/>
    <n v="100000"/>
  </r>
  <r>
    <n v="1028"/>
    <d v="2026-01-28T00:00:00"/>
    <x v="4"/>
    <s v="Furniture"/>
    <x v="7"/>
    <x v="8"/>
    <s v="Wholesale"/>
    <s v="UPI"/>
    <n v="1"/>
    <n v="8000"/>
    <n v="8000"/>
  </r>
  <r>
    <n v="1029"/>
    <d v="2026-01-29T00:00:00"/>
    <x v="1"/>
    <s v="Electronics"/>
    <x v="8"/>
    <x v="7"/>
    <s v="Retail"/>
    <s v="Cash"/>
    <n v="12"/>
    <n v="500"/>
    <n v="6000"/>
  </r>
  <r>
    <n v="1030"/>
    <d v="2026-01-30T00:00:00"/>
    <x v="3"/>
    <s v="Electronics"/>
    <x v="9"/>
    <x v="0"/>
    <s v="Retail"/>
    <s v="Debit Card"/>
    <n v="4"/>
    <n v="1200"/>
    <n v="4800"/>
  </r>
  <r>
    <n v="1031"/>
    <d v="2026-01-31T00:00:00"/>
    <x v="5"/>
    <s v="Electronics"/>
    <x v="0"/>
    <x v="0"/>
    <s v="Wholesale"/>
    <s v="Credit Card"/>
    <n v="2"/>
    <n v="15000"/>
    <n v="30000"/>
  </r>
  <r>
    <n v="1032"/>
    <d v="2026-02-01T00:00:00"/>
    <x v="2"/>
    <s v="Furniture"/>
    <x v="1"/>
    <x v="0"/>
    <s v="Retail"/>
    <s v="UPI"/>
    <n v="7"/>
    <n v="2500"/>
    <n v="17500"/>
  </r>
  <r>
    <n v="1033"/>
    <d v="2026-02-02T00:00:00"/>
    <x v="0"/>
    <s v="Electronics"/>
    <x v="2"/>
    <x v="0"/>
    <s v="Wholesale"/>
    <s v="Cash"/>
    <n v="1"/>
    <n v="50000"/>
    <n v="50000"/>
  </r>
  <r>
    <n v="1034"/>
    <d v="2026-02-03T00:00:00"/>
    <x v="4"/>
    <s v="Furniture"/>
    <x v="3"/>
    <x v="0"/>
    <s v="Retail"/>
    <s v="Bank Transfer"/>
    <n v="3"/>
    <n v="8000"/>
    <n v="24000"/>
  </r>
  <r>
    <n v="1035"/>
    <d v="2026-02-04T00:00:00"/>
    <x v="1"/>
    <s v="Electronics"/>
    <x v="4"/>
    <x v="0"/>
    <s v="Retail"/>
    <s v="UPI"/>
    <n v="9"/>
    <n v="500"/>
    <n v="4500"/>
  </r>
  <r>
    <n v="1036"/>
    <d v="2026-02-05T00:00:00"/>
    <x v="3"/>
    <s v="Electronics"/>
    <x v="5"/>
    <x v="0"/>
    <s v="Wholesale"/>
    <s v="Debit Card"/>
    <n v="6"/>
    <n v="1200"/>
    <n v="7200"/>
  </r>
  <r>
    <n v="1037"/>
    <d v="2026-02-06T00:00:00"/>
    <x v="5"/>
    <s v="Electronics"/>
    <x v="6"/>
    <x v="0"/>
    <s v="Retail"/>
    <s v="Credit Card"/>
    <n v="1"/>
    <n v="15000"/>
    <n v="15000"/>
  </r>
  <r>
    <n v="1038"/>
    <d v="2026-02-07T00:00:00"/>
    <x v="2"/>
    <s v="Furniture"/>
    <x v="7"/>
    <x v="0"/>
    <s v="Wholesale"/>
    <s v="Cash"/>
    <n v="8"/>
    <n v="2500"/>
    <n v="20000"/>
  </r>
  <r>
    <n v="1039"/>
    <d v="2026-02-08T00:00:00"/>
    <x v="0"/>
    <s v="Electronics"/>
    <x v="8"/>
    <x v="0"/>
    <s v="Retail"/>
    <s v="UPI"/>
    <n v="2"/>
    <n v="50000"/>
    <n v="100000"/>
  </r>
  <r>
    <n v="1040"/>
    <d v="2026-02-09T00:00:00"/>
    <x v="4"/>
    <s v="Furniture"/>
    <x v="9"/>
    <x v="7"/>
    <s v="Wholesale"/>
    <s v="Bank Transfer"/>
    <n v="2"/>
    <n v="8000"/>
    <n v="16000"/>
  </r>
  <r>
    <m/>
    <m/>
    <x v="6"/>
    <m/>
    <x v="10"/>
    <x v="9"/>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6C68A5-31B8-479F-9601-C00E51FF87E6}" name="PivotTable9"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15" firstHeaderRow="1" firstDataRow="1" firstDataCol="1"/>
  <pivotFields count="11">
    <pivotField showAll="0"/>
    <pivotField showAll="0"/>
    <pivotField showAll="0">
      <items count="8">
        <item x="2"/>
        <item x="4"/>
        <item x="3"/>
        <item x="0"/>
        <item x="5"/>
        <item x="1"/>
        <item x="6"/>
        <item t="default"/>
      </items>
    </pivotField>
    <pivotField showAll="0"/>
    <pivotField axis="axisRow" showAll="0" sortType="descending">
      <items count="12">
        <item x="8"/>
        <item x="3"/>
        <item x="5"/>
        <item x="0"/>
        <item x="4"/>
        <item x="7"/>
        <item x="6"/>
        <item x="9"/>
        <item x="1"/>
        <item x="2"/>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s>
  <rowFields count="1">
    <field x="4"/>
  </rowFields>
  <rowItems count="12">
    <i>
      <x v="3"/>
    </i>
    <i>
      <x v="6"/>
    </i>
    <i>
      <x/>
    </i>
    <i>
      <x v="8"/>
    </i>
    <i>
      <x v="9"/>
    </i>
    <i>
      <x v="4"/>
    </i>
    <i>
      <x v="2"/>
    </i>
    <i>
      <x v="1"/>
    </i>
    <i>
      <x v="7"/>
    </i>
    <i>
      <x v="5"/>
    </i>
    <i>
      <x v="10"/>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1EA8AB-26B7-4AE5-9DE3-E59364E2C294}" name="PivotTable6"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11">
    <pivotField showAll="0"/>
    <pivotField showAll="0"/>
    <pivotField axis="axisRow" showAll="0" sortType="descending">
      <items count="8">
        <item x="2"/>
        <item x="4"/>
        <item x="3"/>
        <item x="0"/>
        <item x="5"/>
        <item x="1"/>
        <item h="1" x="6"/>
        <item t="default"/>
      </items>
      <autoSortScope>
        <pivotArea dataOnly="0" outline="0" fieldPosition="0">
          <references count="1">
            <reference field="4294967294" count="1" selected="0">
              <x v="0"/>
            </reference>
          </references>
        </pivotArea>
      </autoSortScope>
    </pivotField>
    <pivotField showAll="0"/>
    <pivotField showAll="0">
      <items count="12">
        <item x="8"/>
        <item x="3"/>
        <item x="5"/>
        <item x="0"/>
        <item x="4"/>
        <item x="7"/>
        <item x="6"/>
        <item x="9"/>
        <item x="1"/>
        <item x="2"/>
        <item x="10"/>
        <item t="default"/>
      </items>
    </pivotField>
    <pivotField showAll="0"/>
    <pivotField showAll="0"/>
    <pivotField showAll="0"/>
    <pivotField showAll="0"/>
    <pivotField showAll="0"/>
    <pivotField dataField="1" showAll="0"/>
  </pivotFields>
  <rowFields count="1">
    <field x="2"/>
  </rowFields>
  <rowItems count="7">
    <i>
      <x v="3"/>
    </i>
    <i>
      <x v="4"/>
    </i>
    <i>
      <x v="1"/>
    </i>
    <i>
      <x/>
    </i>
    <i>
      <x v="2"/>
    </i>
    <i>
      <x v="5"/>
    </i>
    <i t="grand">
      <x/>
    </i>
  </rowItems>
  <colItems count="1">
    <i/>
  </colItems>
  <dataFields count="1">
    <dataField name="Sum of  Sales"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EB3628-56FE-4A1B-9C4C-F7EBBD1C3F76}" name="PivotTable10"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13" firstHeaderRow="1" firstDataRow="1" firstDataCol="1"/>
  <pivotFields count="11">
    <pivotField showAll="0"/>
    <pivotField showAll="0"/>
    <pivotField showAll="0"/>
    <pivotField showAll="0"/>
    <pivotField showAll="0"/>
    <pivotField axis="axisRow" showAll="0" sortType="descending">
      <items count="31">
        <item h="1" m="1" x="10"/>
        <item h="1" m="1" x="19"/>
        <item h="1" m="1" x="20"/>
        <item h="1" m="1" x="21"/>
        <item h="1" m="1" x="22"/>
        <item h="1" m="1" x="23"/>
        <item h="1" m="1" x="24"/>
        <item h="1" m="1" x="25"/>
        <item h="1" m="1" x="26"/>
        <item h="1" m="1" x="27"/>
        <item h="1" m="1" x="28"/>
        <item h="1" m="1" x="11"/>
        <item h="1" m="1" x="29"/>
        <item h="1" m="1" x="12"/>
        <item h="1" m="1" x="13"/>
        <item h="1" m="1" x="14"/>
        <item h="1" m="1" x="15"/>
        <item h="1" m="1" x="16"/>
        <item h="1" m="1" x="17"/>
        <item h="1" m="1" x="18"/>
        <item h="1" x="9"/>
        <item x="0"/>
        <item x="1"/>
        <item x="2"/>
        <item x="3"/>
        <item x="4"/>
        <item x="5"/>
        <item x="6"/>
        <item x="7"/>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5"/>
  </rowFields>
  <rowItems count="10">
    <i>
      <x v="21"/>
    </i>
    <i>
      <x v="27"/>
    </i>
    <i>
      <x v="25"/>
    </i>
    <i>
      <x v="26"/>
    </i>
    <i>
      <x v="28"/>
    </i>
    <i>
      <x v="23"/>
    </i>
    <i>
      <x v="22"/>
    </i>
    <i>
      <x v="29"/>
    </i>
    <i>
      <x v="24"/>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076748A-8D44-499F-86E3-D71782BB4C30}" sourceName="City">
  <pivotTables>
    <pivotTable tabId="6" name="PivotTable6"/>
  </pivotTables>
  <data>
    <tabular pivotCacheId="1613978213">
      <items count="11">
        <i x="8" s="1"/>
        <i x="3" s="1"/>
        <i x="5" s="1"/>
        <i x="0" s="1"/>
        <i x="4" s="1"/>
        <i x="7" s="1"/>
        <i x="6" s="1"/>
        <i x="9" s="1"/>
        <i x="1" s="1"/>
        <i x="2" s="1"/>
        <i x="1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56A6031-ACFD-4F08-86EC-425AF28D8B5C}" sourceName="Product">
  <pivotTables>
    <pivotTable tabId="6" name="PivotTable9"/>
  </pivotTables>
  <data>
    <tabular pivotCacheId="1613978213">
      <items count="7">
        <i x="2" s="1"/>
        <i x="4" s="1"/>
        <i x="3" s="1"/>
        <i x="0" s="1"/>
        <i x="5" s="1"/>
        <i x="1"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5F548CB6-0124-49BE-975A-8B73AC5B7973}" cache="Slicer_City" caption="City" rowHeight="234950"/>
  <slicer name="Product" xr10:uid="{E9FD80CB-7048-4CFF-B12C-26E345AD6C7E}" cache="Slicer_Product"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CFB6F-3E26-4D47-BCBE-2A1D18FC7209}">
  <dimension ref="A1:K41"/>
  <sheetViews>
    <sheetView tabSelected="1" workbookViewId="0">
      <selection activeCell="F42" sqref="F42"/>
    </sheetView>
  </sheetViews>
  <sheetFormatPr defaultRowHeight="14.4" x14ac:dyDescent="0.3"/>
  <cols>
    <col min="1" max="1" width="12" customWidth="1"/>
    <col min="2" max="2" width="17.109375" customWidth="1"/>
    <col min="6" max="6" width="13.88671875" customWidth="1"/>
  </cols>
  <sheetData>
    <row r="1" spans="1:11" x14ac:dyDescent="0.3">
      <c r="A1" t="s">
        <v>0</v>
      </c>
      <c r="B1" t="s">
        <v>37</v>
      </c>
      <c r="C1" t="s">
        <v>1</v>
      </c>
      <c r="D1" t="s">
        <v>2</v>
      </c>
      <c r="E1" t="s">
        <v>3</v>
      </c>
      <c r="F1" t="s">
        <v>4</v>
      </c>
      <c r="G1" t="s">
        <v>18</v>
      </c>
      <c r="H1" t="s">
        <v>19</v>
      </c>
      <c r="I1" t="s">
        <v>5</v>
      </c>
      <c r="J1" t="s">
        <v>6</v>
      </c>
      <c r="K1" t="s">
        <v>38</v>
      </c>
    </row>
    <row r="2" spans="1:11" x14ac:dyDescent="0.3">
      <c r="A2">
        <v>1001</v>
      </c>
      <c r="B2" s="1">
        <v>46023</v>
      </c>
      <c r="C2" t="s">
        <v>7</v>
      </c>
      <c r="D2" t="s">
        <v>8</v>
      </c>
      <c r="E2" t="s">
        <v>9</v>
      </c>
      <c r="F2" t="s">
        <v>40</v>
      </c>
      <c r="G2" t="s">
        <v>20</v>
      </c>
      <c r="H2" t="s">
        <v>21</v>
      </c>
      <c r="I2">
        <v>2</v>
      </c>
      <c r="J2">
        <v>50000</v>
      </c>
      <c r="K2">
        <f>(I2*J2)</f>
        <v>100000</v>
      </c>
    </row>
    <row r="3" spans="1:11" x14ac:dyDescent="0.3">
      <c r="A3">
        <v>1002</v>
      </c>
      <c r="B3" s="1">
        <v>46024</v>
      </c>
      <c r="C3" t="s">
        <v>10</v>
      </c>
      <c r="D3" t="s">
        <v>8</v>
      </c>
      <c r="E3" t="s">
        <v>11</v>
      </c>
      <c r="F3" t="s">
        <v>44</v>
      </c>
      <c r="G3" t="s">
        <v>23</v>
      </c>
      <c r="H3" t="s">
        <v>22</v>
      </c>
      <c r="I3">
        <v>5</v>
      </c>
      <c r="J3">
        <v>500</v>
      </c>
      <c r="K3">
        <f t="shared" ref="K3:K41" si="0">(I3*J3)</f>
        <v>2500</v>
      </c>
    </row>
    <row r="4" spans="1:11" x14ac:dyDescent="0.3">
      <c r="A4">
        <v>1003</v>
      </c>
      <c r="B4" s="1">
        <v>46025</v>
      </c>
      <c r="C4" t="s">
        <v>12</v>
      </c>
      <c r="D4" t="s">
        <v>13</v>
      </c>
      <c r="E4" t="s">
        <v>15</v>
      </c>
      <c r="F4" t="s">
        <v>43</v>
      </c>
      <c r="G4" t="s">
        <v>20</v>
      </c>
      <c r="H4" t="s">
        <v>26</v>
      </c>
      <c r="I4">
        <v>3</v>
      </c>
      <c r="J4">
        <v>2500</v>
      </c>
      <c r="K4">
        <f t="shared" si="0"/>
        <v>7500</v>
      </c>
    </row>
    <row r="5" spans="1:11" x14ac:dyDescent="0.3">
      <c r="A5">
        <v>1004</v>
      </c>
      <c r="B5" s="1">
        <v>46026</v>
      </c>
      <c r="C5" t="s">
        <v>14</v>
      </c>
      <c r="D5" t="s">
        <v>8</v>
      </c>
      <c r="E5" t="s">
        <v>17</v>
      </c>
      <c r="F5" t="s">
        <v>42</v>
      </c>
      <c r="G5" t="s">
        <v>20</v>
      </c>
      <c r="H5" t="s">
        <v>24</v>
      </c>
      <c r="I5">
        <v>4</v>
      </c>
      <c r="J5">
        <v>1200</v>
      </c>
      <c r="K5">
        <f t="shared" si="0"/>
        <v>4800</v>
      </c>
    </row>
    <row r="6" spans="1:11" x14ac:dyDescent="0.3">
      <c r="A6">
        <v>1005</v>
      </c>
      <c r="B6" s="1">
        <v>46027</v>
      </c>
      <c r="C6" t="s">
        <v>16</v>
      </c>
      <c r="D6" t="s">
        <v>13</v>
      </c>
      <c r="E6" t="s">
        <v>28</v>
      </c>
      <c r="F6" t="s">
        <v>41</v>
      </c>
      <c r="G6" t="s">
        <v>23</v>
      </c>
      <c r="H6" t="s">
        <v>21</v>
      </c>
      <c r="I6">
        <v>1</v>
      </c>
      <c r="J6">
        <v>8000</v>
      </c>
      <c r="K6">
        <f t="shared" si="0"/>
        <v>8000</v>
      </c>
    </row>
    <row r="7" spans="1:11" x14ac:dyDescent="0.3">
      <c r="A7">
        <v>1006</v>
      </c>
      <c r="B7" s="1">
        <v>46028</v>
      </c>
      <c r="C7" t="s">
        <v>27</v>
      </c>
      <c r="D7" t="s">
        <v>8</v>
      </c>
      <c r="E7" t="s">
        <v>29</v>
      </c>
      <c r="F7" t="s">
        <v>45</v>
      </c>
      <c r="G7" t="s">
        <v>20</v>
      </c>
      <c r="H7" t="s">
        <v>22</v>
      </c>
      <c r="I7">
        <v>2</v>
      </c>
      <c r="J7">
        <v>15000</v>
      </c>
      <c r="K7">
        <f t="shared" si="0"/>
        <v>30000</v>
      </c>
    </row>
    <row r="8" spans="1:11" x14ac:dyDescent="0.3">
      <c r="A8">
        <v>1007</v>
      </c>
      <c r="B8" s="1">
        <v>46029</v>
      </c>
      <c r="C8" t="s">
        <v>7</v>
      </c>
      <c r="D8" t="s">
        <v>8</v>
      </c>
      <c r="E8" t="s">
        <v>33</v>
      </c>
      <c r="F8" t="s">
        <v>46</v>
      </c>
      <c r="G8" t="s">
        <v>23</v>
      </c>
      <c r="H8" t="s">
        <v>26</v>
      </c>
      <c r="I8">
        <v>1</v>
      </c>
      <c r="J8">
        <v>50000</v>
      </c>
      <c r="K8">
        <f t="shared" si="0"/>
        <v>50000</v>
      </c>
    </row>
    <row r="9" spans="1:11" x14ac:dyDescent="0.3">
      <c r="A9">
        <v>1008</v>
      </c>
      <c r="B9" s="1">
        <v>46030</v>
      </c>
      <c r="C9" t="s">
        <v>12</v>
      </c>
      <c r="D9" t="s">
        <v>13</v>
      </c>
      <c r="E9" t="s">
        <v>34</v>
      </c>
      <c r="F9" t="s">
        <v>47</v>
      </c>
      <c r="G9" t="s">
        <v>20</v>
      </c>
      <c r="H9" t="s">
        <v>21</v>
      </c>
      <c r="I9">
        <v>4</v>
      </c>
      <c r="J9">
        <v>2500</v>
      </c>
      <c r="K9">
        <f t="shared" si="0"/>
        <v>10000</v>
      </c>
    </row>
    <row r="10" spans="1:11" x14ac:dyDescent="0.3">
      <c r="A10">
        <v>1009</v>
      </c>
      <c r="B10" s="1">
        <v>46031</v>
      </c>
      <c r="C10" t="s">
        <v>10</v>
      </c>
      <c r="D10" t="s">
        <v>8</v>
      </c>
      <c r="E10" t="s">
        <v>35</v>
      </c>
      <c r="F10" t="s">
        <v>48</v>
      </c>
      <c r="G10" t="s">
        <v>20</v>
      </c>
      <c r="H10" t="s">
        <v>22</v>
      </c>
      <c r="I10">
        <v>8</v>
      </c>
      <c r="J10">
        <v>500</v>
      </c>
      <c r="K10">
        <f t="shared" si="0"/>
        <v>4000</v>
      </c>
    </row>
    <row r="11" spans="1:11" x14ac:dyDescent="0.3">
      <c r="A11">
        <v>1010</v>
      </c>
      <c r="B11" s="1">
        <v>46032</v>
      </c>
      <c r="C11" t="s">
        <v>16</v>
      </c>
      <c r="D11" t="s">
        <v>13</v>
      </c>
      <c r="E11" t="s">
        <v>36</v>
      </c>
      <c r="F11" t="s">
        <v>40</v>
      </c>
      <c r="G11" t="s">
        <v>23</v>
      </c>
      <c r="H11" t="s">
        <v>25</v>
      </c>
      <c r="I11">
        <v>2</v>
      </c>
      <c r="J11">
        <v>8000</v>
      </c>
      <c r="K11">
        <f t="shared" si="0"/>
        <v>16000</v>
      </c>
    </row>
    <row r="12" spans="1:11" x14ac:dyDescent="0.3">
      <c r="A12">
        <v>1011</v>
      </c>
      <c r="B12" s="1">
        <v>46033</v>
      </c>
      <c r="C12" t="s">
        <v>14</v>
      </c>
      <c r="D12" t="s">
        <v>8</v>
      </c>
      <c r="E12" t="s">
        <v>9</v>
      </c>
      <c r="F12" t="s">
        <v>40</v>
      </c>
      <c r="G12" t="s">
        <v>20</v>
      </c>
      <c r="H12" t="s">
        <v>24</v>
      </c>
      <c r="I12">
        <v>5</v>
      </c>
      <c r="J12">
        <v>1200</v>
      </c>
      <c r="K12">
        <f t="shared" si="0"/>
        <v>6000</v>
      </c>
    </row>
    <row r="13" spans="1:11" x14ac:dyDescent="0.3">
      <c r="A13">
        <v>1012</v>
      </c>
      <c r="B13" s="1">
        <v>46034</v>
      </c>
      <c r="C13" t="s">
        <v>7</v>
      </c>
      <c r="D13" t="s">
        <v>8</v>
      </c>
      <c r="E13" t="s">
        <v>11</v>
      </c>
      <c r="F13" t="s">
        <v>40</v>
      </c>
      <c r="G13" t="s">
        <v>23</v>
      </c>
      <c r="H13" t="s">
        <v>21</v>
      </c>
      <c r="I13">
        <v>2</v>
      </c>
      <c r="J13">
        <v>50000</v>
      </c>
      <c r="K13">
        <f t="shared" si="0"/>
        <v>100000</v>
      </c>
    </row>
    <row r="14" spans="1:11" x14ac:dyDescent="0.3">
      <c r="A14">
        <v>1013</v>
      </c>
      <c r="B14" s="1">
        <v>46035</v>
      </c>
      <c r="C14" t="s">
        <v>27</v>
      </c>
      <c r="D14" t="s">
        <v>8</v>
      </c>
      <c r="E14" t="s">
        <v>15</v>
      </c>
      <c r="F14" t="s">
        <v>40</v>
      </c>
      <c r="G14" t="s">
        <v>20</v>
      </c>
      <c r="H14" t="s">
        <v>26</v>
      </c>
      <c r="I14">
        <v>3</v>
      </c>
      <c r="J14">
        <v>15000</v>
      </c>
      <c r="K14">
        <f t="shared" si="0"/>
        <v>45000</v>
      </c>
    </row>
    <row r="15" spans="1:11" x14ac:dyDescent="0.3">
      <c r="A15">
        <v>1014</v>
      </c>
      <c r="B15" s="1">
        <v>46036</v>
      </c>
      <c r="C15" t="s">
        <v>12</v>
      </c>
      <c r="D15" t="s">
        <v>13</v>
      </c>
      <c r="E15" t="s">
        <v>17</v>
      </c>
      <c r="F15" t="s">
        <v>40</v>
      </c>
      <c r="G15" t="s">
        <v>20</v>
      </c>
      <c r="H15" t="s">
        <v>22</v>
      </c>
      <c r="I15">
        <v>6</v>
      </c>
      <c r="J15">
        <v>2500</v>
      </c>
      <c r="K15">
        <f t="shared" si="0"/>
        <v>15000</v>
      </c>
    </row>
    <row r="16" spans="1:11" x14ac:dyDescent="0.3">
      <c r="A16">
        <v>1015</v>
      </c>
      <c r="B16" s="1">
        <v>46037</v>
      </c>
      <c r="C16" t="s">
        <v>16</v>
      </c>
      <c r="D16" t="s">
        <v>13</v>
      </c>
      <c r="E16" t="s">
        <v>28</v>
      </c>
      <c r="F16" t="s">
        <v>40</v>
      </c>
      <c r="G16" t="s">
        <v>23</v>
      </c>
      <c r="H16" t="s">
        <v>21</v>
      </c>
      <c r="I16">
        <v>2</v>
      </c>
      <c r="J16">
        <v>8000</v>
      </c>
      <c r="K16">
        <f t="shared" si="0"/>
        <v>16000</v>
      </c>
    </row>
    <row r="17" spans="1:11" x14ac:dyDescent="0.3">
      <c r="A17">
        <v>1016</v>
      </c>
      <c r="B17" s="1">
        <v>46038</v>
      </c>
      <c r="C17" t="s">
        <v>10</v>
      </c>
      <c r="D17" t="s">
        <v>8</v>
      </c>
      <c r="E17" t="s">
        <v>29</v>
      </c>
      <c r="F17" t="s">
        <v>40</v>
      </c>
      <c r="G17" t="s">
        <v>20</v>
      </c>
      <c r="H17" t="s">
        <v>22</v>
      </c>
      <c r="I17">
        <v>10</v>
      </c>
      <c r="J17">
        <v>500</v>
      </c>
      <c r="K17">
        <f t="shared" si="0"/>
        <v>5000</v>
      </c>
    </row>
    <row r="18" spans="1:11" x14ac:dyDescent="0.3">
      <c r="A18">
        <v>1017</v>
      </c>
      <c r="B18" s="1">
        <v>46039</v>
      </c>
      <c r="C18" t="s">
        <v>7</v>
      </c>
      <c r="D18" t="s">
        <v>8</v>
      </c>
      <c r="E18" t="s">
        <v>33</v>
      </c>
      <c r="F18" t="s">
        <v>40</v>
      </c>
      <c r="G18" t="s">
        <v>23</v>
      </c>
      <c r="H18" t="s">
        <v>26</v>
      </c>
      <c r="I18">
        <v>1</v>
      </c>
      <c r="J18">
        <v>50000</v>
      </c>
      <c r="K18">
        <f t="shared" si="0"/>
        <v>50000</v>
      </c>
    </row>
    <row r="19" spans="1:11" x14ac:dyDescent="0.3">
      <c r="A19">
        <v>1018</v>
      </c>
      <c r="B19" s="1">
        <v>46040</v>
      </c>
      <c r="C19" t="s">
        <v>14</v>
      </c>
      <c r="D19" t="s">
        <v>8</v>
      </c>
      <c r="E19" t="s">
        <v>34</v>
      </c>
      <c r="F19" t="s">
        <v>40</v>
      </c>
      <c r="G19" t="s">
        <v>20</v>
      </c>
      <c r="H19" t="s">
        <v>24</v>
      </c>
      <c r="I19">
        <v>7</v>
      </c>
      <c r="J19">
        <v>1200</v>
      </c>
      <c r="K19">
        <f t="shared" si="0"/>
        <v>8400</v>
      </c>
    </row>
    <row r="20" spans="1:11" x14ac:dyDescent="0.3">
      <c r="A20">
        <v>1019</v>
      </c>
      <c r="B20" s="1">
        <v>46041</v>
      </c>
      <c r="C20" t="s">
        <v>27</v>
      </c>
      <c r="D20" t="s">
        <v>8</v>
      </c>
      <c r="E20" t="s">
        <v>35</v>
      </c>
      <c r="F20" t="s">
        <v>40</v>
      </c>
      <c r="G20" t="s">
        <v>20</v>
      </c>
      <c r="H20" t="s">
        <v>21</v>
      </c>
      <c r="I20">
        <v>2</v>
      </c>
      <c r="J20">
        <v>15000</v>
      </c>
      <c r="K20">
        <f t="shared" si="0"/>
        <v>30000</v>
      </c>
    </row>
    <row r="21" spans="1:11" x14ac:dyDescent="0.3">
      <c r="A21">
        <v>1020</v>
      </c>
      <c r="B21" s="1">
        <v>46042</v>
      </c>
      <c r="C21" t="s">
        <v>12</v>
      </c>
      <c r="D21" t="s">
        <v>13</v>
      </c>
      <c r="E21" t="s">
        <v>36</v>
      </c>
      <c r="F21" t="s">
        <v>44</v>
      </c>
      <c r="G21" t="s">
        <v>23</v>
      </c>
      <c r="H21" t="s">
        <v>25</v>
      </c>
      <c r="I21">
        <v>5</v>
      </c>
      <c r="J21">
        <v>2500</v>
      </c>
      <c r="K21">
        <f t="shared" si="0"/>
        <v>12500</v>
      </c>
    </row>
    <row r="22" spans="1:11" x14ac:dyDescent="0.3">
      <c r="A22">
        <v>1021</v>
      </c>
      <c r="B22" s="1">
        <v>46043</v>
      </c>
      <c r="C22" t="s">
        <v>7</v>
      </c>
      <c r="D22" t="s">
        <v>8</v>
      </c>
      <c r="E22" t="s">
        <v>9</v>
      </c>
      <c r="F22" t="s">
        <v>40</v>
      </c>
      <c r="G22" t="s">
        <v>20</v>
      </c>
      <c r="H22" t="s">
        <v>21</v>
      </c>
      <c r="I22">
        <v>3</v>
      </c>
      <c r="J22">
        <v>50000</v>
      </c>
      <c r="K22">
        <f t="shared" si="0"/>
        <v>150000</v>
      </c>
    </row>
    <row r="23" spans="1:11" x14ac:dyDescent="0.3">
      <c r="A23">
        <v>1022</v>
      </c>
      <c r="B23" s="1">
        <v>46044</v>
      </c>
      <c r="C23" t="s">
        <v>10</v>
      </c>
      <c r="D23" t="s">
        <v>8</v>
      </c>
      <c r="E23" t="s">
        <v>11</v>
      </c>
      <c r="F23" t="s">
        <v>44</v>
      </c>
      <c r="G23" t="s">
        <v>20</v>
      </c>
      <c r="H23" t="s">
        <v>22</v>
      </c>
      <c r="I23">
        <v>6</v>
      </c>
      <c r="J23">
        <v>500</v>
      </c>
      <c r="K23">
        <f t="shared" si="0"/>
        <v>3000</v>
      </c>
    </row>
    <row r="24" spans="1:11" x14ac:dyDescent="0.3">
      <c r="A24">
        <v>1023</v>
      </c>
      <c r="B24" s="1">
        <v>46045</v>
      </c>
      <c r="C24" t="s">
        <v>16</v>
      </c>
      <c r="D24" t="s">
        <v>13</v>
      </c>
      <c r="E24" t="s">
        <v>15</v>
      </c>
      <c r="F24" t="s">
        <v>43</v>
      </c>
      <c r="G24" t="s">
        <v>23</v>
      </c>
      <c r="H24" t="s">
        <v>26</v>
      </c>
      <c r="I24">
        <v>2</v>
      </c>
      <c r="J24">
        <v>8000</v>
      </c>
      <c r="K24">
        <f t="shared" si="0"/>
        <v>16000</v>
      </c>
    </row>
    <row r="25" spans="1:11" x14ac:dyDescent="0.3">
      <c r="A25">
        <v>1024</v>
      </c>
      <c r="B25" s="1">
        <v>46046</v>
      </c>
      <c r="C25" t="s">
        <v>14</v>
      </c>
      <c r="D25" t="s">
        <v>8</v>
      </c>
      <c r="E25" t="s">
        <v>17</v>
      </c>
      <c r="F25" t="s">
        <v>42</v>
      </c>
      <c r="G25" t="s">
        <v>20</v>
      </c>
      <c r="H25" t="s">
        <v>24</v>
      </c>
      <c r="I25">
        <v>5</v>
      </c>
      <c r="J25">
        <v>1200</v>
      </c>
      <c r="K25">
        <f t="shared" si="0"/>
        <v>6000</v>
      </c>
    </row>
    <row r="26" spans="1:11" x14ac:dyDescent="0.3">
      <c r="A26">
        <v>1025</v>
      </c>
      <c r="B26" s="1">
        <v>46047</v>
      </c>
      <c r="C26" t="s">
        <v>27</v>
      </c>
      <c r="D26" t="s">
        <v>8</v>
      </c>
      <c r="E26" t="s">
        <v>28</v>
      </c>
      <c r="F26" t="s">
        <v>41</v>
      </c>
      <c r="G26" t="s">
        <v>20</v>
      </c>
      <c r="H26" t="s">
        <v>21</v>
      </c>
      <c r="I26">
        <v>3</v>
      </c>
      <c r="J26">
        <v>15000</v>
      </c>
      <c r="K26">
        <f t="shared" si="0"/>
        <v>45000</v>
      </c>
    </row>
    <row r="27" spans="1:11" x14ac:dyDescent="0.3">
      <c r="A27">
        <v>1026</v>
      </c>
      <c r="B27" s="1">
        <v>46048</v>
      </c>
      <c r="C27" t="s">
        <v>12</v>
      </c>
      <c r="D27" t="s">
        <v>13</v>
      </c>
      <c r="E27" t="s">
        <v>29</v>
      </c>
      <c r="F27" t="s">
        <v>45</v>
      </c>
      <c r="G27" t="s">
        <v>23</v>
      </c>
      <c r="H27" t="s">
        <v>22</v>
      </c>
      <c r="I27">
        <v>4</v>
      </c>
      <c r="J27">
        <v>2500</v>
      </c>
      <c r="K27">
        <f t="shared" si="0"/>
        <v>10000</v>
      </c>
    </row>
    <row r="28" spans="1:11" x14ac:dyDescent="0.3">
      <c r="A28">
        <v>1027</v>
      </c>
      <c r="B28" s="1">
        <v>46049</v>
      </c>
      <c r="C28" t="s">
        <v>7</v>
      </c>
      <c r="D28" t="s">
        <v>8</v>
      </c>
      <c r="E28" t="s">
        <v>33</v>
      </c>
      <c r="F28" t="s">
        <v>46</v>
      </c>
      <c r="G28" t="s">
        <v>20</v>
      </c>
      <c r="H28" t="s">
        <v>26</v>
      </c>
      <c r="I28">
        <v>2</v>
      </c>
      <c r="J28">
        <v>50000</v>
      </c>
      <c r="K28">
        <f t="shared" si="0"/>
        <v>100000</v>
      </c>
    </row>
    <row r="29" spans="1:11" x14ac:dyDescent="0.3">
      <c r="A29">
        <v>1028</v>
      </c>
      <c r="B29" s="1">
        <v>46050</v>
      </c>
      <c r="C29" t="s">
        <v>16</v>
      </c>
      <c r="D29" t="s">
        <v>13</v>
      </c>
      <c r="E29" t="s">
        <v>34</v>
      </c>
      <c r="F29" t="s">
        <v>48</v>
      </c>
      <c r="G29" t="s">
        <v>23</v>
      </c>
      <c r="H29" t="s">
        <v>21</v>
      </c>
      <c r="I29">
        <v>1</v>
      </c>
      <c r="J29">
        <v>8000</v>
      </c>
      <c r="K29">
        <f t="shared" si="0"/>
        <v>8000</v>
      </c>
    </row>
    <row r="30" spans="1:11" x14ac:dyDescent="0.3">
      <c r="A30">
        <v>1029</v>
      </c>
      <c r="B30" s="1">
        <v>46051</v>
      </c>
      <c r="C30" t="s">
        <v>10</v>
      </c>
      <c r="D30" t="s">
        <v>8</v>
      </c>
      <c r="E30" t="s">
        <v>35</v>
      </c>
      <c r="F30" t="s">
        <v>47</v>
      </c>
      <c r="G30" t="s">
        <v>20</v>
      </c>
      <c r="H30" t="s">
        <v>22</v>
      </c>
      <c r="I30">
        <v>12</v>
      </c>
      <c r="J30">
        <v>500</v>
      </c>
      <c r="K30">
        <f t="shared" si="0"/>
        <v>6000</v>
      </c>
    </row>
    <row r="31" spans="1:11" x14ac:dyDescent="0.3">
      <c r="A31">
        <v>1030</v>
      </c>
      <c r="B31" s="1">
        <v>46052</v>
      </c>
      <c r="C31" t="s">
        <v>14</v>
      </c>
      <c r="D31" t="s">
        <v>8</v>
      </c>
      <c r="E31" t="s">
        <v>36</v>
      </c>
      <c r="F31" t="s">
        <v>40</v>
      </c>
      <c r="G31" t="s">
        <v>20</v>
      </c>
      <c r="H31" t="s">
        <v>24</v>
      </c>
      <c r="I31">
        <v>4</v>
      </c>
      <c r="J31">
        <v>1200</v>
      </c>
      <c r="K31">
        <f t="shared" si="0"/>
        <v>4800</v>
      </c>
    </row>
    <row r="32" spans="1:11" x14ac:dyDescent="0.3">
      <c r="A32">
        <v>1031</v>
      </c>
      <c r="B32" s="1">
        <v>46053</v>
      </c>
      <c r="C32" t="s">
        <v>27</v>
      </c>
      <c r="D32" t="s">
        <v>8</v>
      </c>
      <c r="E32" t="s">
        <v>9</v>
      </c>
      <c r="F32" t="s">
        <v>40</v>
      </c>
      <c r="G32" t="s">
        <v>23</v>
      </c>
      <c r="H32" t="s">
        <v>26</v>
      </c>
      <c r="I32">
        <v>2</v>
      </c>
      <c r="J32">
        <v>15000</v>
      </c>
      <c r="K32">
        <f t="shared" si="0"/>
        <v>30000</v>
      </c>
    </row>
    <row r="33" spans="1:11" x14ac:dyDescent="0.3">
      <c r="A33">
        <v>1032</v>
      </c>
      <c r="B33" s="1">
        <v>46054</v>
      </c>
      <c r="C33" t="s">
        <v>12</v>
      </c>
      <c r="D33" t="s">
        <v>13</v>
      </c>
      <c r="E33" t="s">
        <v>11</v>
      </c>
      <c r="F33" t="s">
        <v>40</v>
      </c>
      <c r="G33" t="s">
        <v>20</v>
      </c>
      <c r="H33" t="s">
        <v>21</v>
      </c>
      <c r="I33">
        <v>7</v>
      </c>
      <c r="J33">
        <v>2500</v>
      </c>
      <c r="K33">
        <f t="shared" si="0"/>
        <v>17500</v>
      </c>
    </row>
    <row r="34" spans="1:11" x14ac:dyDescent="0.3">
      <c r="A34">
        <v>1033</v>
      </c>
      <c r="B34" s="1">
        <v>46055</v>
      </c>
      <c r="C34" t="s">
        <v>7</v>
      </c>
      <c r="D34" t="s">
        <v>8</v>
      </c>
      <c r="E34" t="s">
        <v>15</v>
      </c>
      <c r="F34" t="s">
        <v>40</v>
      </c>
      <c r="G34" t="s">
        <v>23</v>
      </c>
      <c r="H34" t="s">
        <v>22</v>
      </c>
      <c r="I34">
        <v>1</v>
      </c>
      <c r="J34">
        <v>50000</v>
      </c>
      <c r="K34">
        <f t="shared" si="0"/>
        <v>50000</v>
      </c>
    </row>
    <row r="35" spans="1:11" x14ac:dyDescent="0.3">
      <c r="A35">
        <v>1034</v>
      </c>
      <c r="B35" s="1">
        <v>46056</v>
      </c>
      <c r="C35" t="s">
        <v>16</v>
      </c>
      <c r="D35" t="s">
        <v>13</v>
      </c>
      <c r="E35" t="s">
        <v>17</v>
      </c>
      <c r="F35" t="s">
        <v>40</v>
      </c>
      <c r="G35" t="s">
        <v>20</v>
      </c>
      <c r="H35" t="s">
        <v>25</v>
      </c>
      <c r="I35">
        <v>3</v>
      </c>
      <c r="J35">
        <v>8000</v>
      </c>
      <c r="K35">
        <f t="shared" si="0"/>
        <v>24000</v>
      </c>
    </row>
    <row r="36" spans="1:11" x14ac:dyDescent="0.3">
      <c r="A36">
        <v>1035</v>
      </c>
      <c r="B36" s="1">
        <v>46057</v>
      </c>
      <c r="C36" t="s">
        <v>10</v>
      </c>
      <c r="D36" t="s">
        <v>8</v>
      </c>
      <c r="E36" t="s">
        <v>28</v>
      </c>
      <c r="F36" t="s">
        <v>40</v>
      </c>
      <c r="G36" t="s">
        <v>20</v>
      </c>
      <c r="H36" t="s">
        <v>21</v>
      </c>
      <c r="I36">
        <v>9</v>
      </c>
      <c r="J36">
        <v>500</v>
      </c>
      <c r="K36">
        <f t="shared" si="0"/>
        <v>4500</v>
      </c>
    </row>
    <row r="37" spans="1:11" x14ac:dyDescent="0.3">
      <c r="A37">
        <v>1036</v>
      </c>
      <c r="B37" s="1">
        <v>46058</v>
      </c>
      <c r="C37" t="s">
        <v>14</v>
      </c>
      <c r="D37" t="s">
        <v>8</v>
      </c>
      <c r="E37" t="s">
        <v>29</v>
      </c>
      <c r="F37" t="s">
        <v>40</v>
      </c>
      <c r="G37" t="s">
        <v>23</v>
      </c>
      <c r="H37" t="s">
        <v>24</v>
      </c>
      <c r="I37">
        <v>6</v>
      </c>
      <c r="J37">
        <v>1200</v>
      </c>
      <c r="K37">
        <f t="shared" si="0"/>
        <v>7200</v>
      </c>
    </row>
    <row r="38" spans="1:11" x14ac:dyDescent="0.3">
      <c r="A38">
        <v>1037</v>
      </c>
      <c r="B38" s="1">
        <v>46059</v>
      </c>
      <c r="C38" t="s">
        <v>27</v>
      </c>
      <c r="D38" t="s">
        <v>8</v>
      </c>
      <c r="E38" t="s">
        <v>33</v>
      </c>
      <c r="F38" t="s">
        <v>40</v>
      </c>
      <c r="G38" t="s">
        <v>20</v>
      </c>
      <c r="H38" t="s">
        <v>26</v>
      </c>
      <c r="I38">
        <v>1</v>
      </c>
      <c r="J38">
        <v>15000</v>
      </c>
      <c r="K38">
        <f t="shared" si="0"/>
        <v>15000</v>
      </c>
    </row>
    <row r="39" spans="1:11" x14ac:dyDescent="0.3">
      <c r="A39">
        <v>1038</v>
      </c>
      <c r="B39" s="1">
        <v>46060</v>
      </c>
      <c r="C39" t="s">
        <v>12</v>
      </c>
      <c r="D39" t="s">
        <v>13</v>
      </c>
      <c r="E39" t="s">
        <v>34</v>
      </c>
      <c r="F39" t="s">
        <v>40</v>
      </c>
      <c r="G39" t="s">
        <v>23</v>
      </c>
      <c r="H39" t="s">
        <v>22</v>
      </c>
      <c r="I39">
        <v>8</v>
      </c>
      <c r="J39">
        <v>2500</v>
      </c>
      <c r="K39">
        <f t="shared" si="0"/>
        <v>20000</v>
      </c>
    </row>
    <row r="40" spans="1:11" x14ac:dyDescent="0.3">
      <c r="A40">
        <v>1039</v>
      </c>
      <c r="B40" s="1">
        <v>46061</v>
      </c>
      <c r="C40" t="s">
        <v>7</v>
      </c>
      <c r="D40" t="s">
        <v>8</v>
      </c>
      <c r="E40" t="s">
        <v>35</v>
      </c>
      <c r="F40" t="s">
        <v>40</v>
      </c>
      <c r="G40" t="s">
        <v>20</v>
      </c>
      <c r="H40" t="s">
        <v>21</v>
      </c>
      <c r="I40">
        <v>2</v>
      </c>
      <c r="J40">
        <v>50000</v>
      </c>
      <c r="K40">
        <f t="shared" si="0"/>
        <v>100000</v>
      </c>
    </row>
    <row r="41" spans="1:11" x14ac:dyDescent="0.3">
      <c r="A41">
        <v>1040</v>
      </c>
      <c r="B41" s="1">
        <v>46062</v>
      </c>
      <c r="C41" t="s">
        <v>16</v>
      </c>
      <c r="D41" t="s">
        <v>13</v>
      </c>
      <c r="E41" t="s">
        <v>36</v>
      </c>
      <c r="F41" t="s">
        <v>47</v>
      </c>
      <c r="G41" t="s">
        <v>23</v>
      </c>
      <c r="H41" t="s">
        <v>25</v>
      </c>
      <c r="I41">
        <v>2</v>
      </c>
      <c r="J41">
        <v>8000</v>
      </c>
      <c r="K41">
        <f t="shared" si="0"/>
        <v>16000</v>
      </c>
    </row>
  </sheetData>
  <conditionalFormatting sqref="L1:L31">
    <cfRule type="cellIs" dxfId="0" priority="2" operator="greaterThan">
      <formula>40000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64B3-043C-4EEF-85F4-6F4F4EA1FCE6}">
  <dimension ref="A3:H15"/>
  <sheetViews>
    <sheetView workbookViewId="0">
      <selection activeCell="E14" sqref="E14"/>
    </sheetView>
  </sheetViews>
  <sheetFormatPr defaultRowHeight="14.4" x14ac:dyDescent="0.3"/>
  <cols>
    <col min="1" max="1" width="12.5546875" bestFit="1" customWidth="1"/>
    <col min="2" max="2" width="12.109375" bestFit="1" customWidth="1"/>
    <col min="4" max="4" width="12.5546875" bestFit="1" customWidth="1"/>
    <col min="5" max="5" width="12.109375" bestFit="1" customWidth="1"/>
    <col min="7" max="7" width="12.5546875" bestFit="1" customWidth="1"/>
    <col min="8" max="8" width="12.109375" bestFit="1" customWidth="1"/>
  </cols>
  <sheetData>
    <row r="3" spans="1:8" x14ac:dyDescent="0.3">
      <c r="A3" s="2" t="s">
        <v>30</v>
      </c>
      <c r="B3" t="s">
        <v>39</v>
      </c>
      <c r="D3" s="2" t="s">
        <v>30</v>
      </c>
      <c r="E3" t="s">
        <v>39</v>
      </c>
      <c r="G3" s="2" t="s">
        <v>30</v>
      </c>
      <c r="H3" t="s">
        <v>39</v>
      </c>
    </row>
    <row r="4" spans="1:8" x14ac:dyDescent="0.3">
      <c r="A4" s="3" t="s">
        <v>7</v>
      </c>
      <c r="B4">
        <v>700000</v>
      </c>
      <c r="D4" s="3" t="s">
        <v>9</v>
      </c>
      <c r="E4">
        <v>286000</v>
      </c>
      <c r="G4" s="3" t="s">
        <v>40</v>
      </c>
      <c r="H4">
        <v>814400</v>
      </c>
    </row>
    <row r="5" spans="1:8" x14ac:dyDescent="0.3">
      <c r="A5" s="3" t="s">
        <v>27</v>
      </c>
      <c r="B5">
        <v>195000</v>
      </c>
      <c r="D5" s="3" t="s">
        <v>33</v>
      </c>
      <c r="E5">
        <v>215000</v>
      </c>
      <c r="G5" s="3" t="s">
        <v>46</v>
      </c>
      <c r="H5">
        <v>150000</v>
      </c>
    </row>
    <row r="6" spans="1:8" x14ac:dyDescent="0.3">
      <c r="A6" s="3" t="s">
        <v>16</v>
      </c>
      <c r="B6">
        <v>104000</v>
      </c>
      <c r="D6" s="3" t="s">
        <v>35</v>
      </c>
      <c r="E6">
        <v>140000</v>
      </c>
      <c r="G6" s="3" t="s">
        <v>41</v>
      </c>
      <c r="H6">
        <v>53000</v>
      </c>
    </row>
    <row r="7" spans="1:8" x14ac:dyDescent="0.3">
      <c r="A7" s="3" t="s">
        <v>12</v>
      </c>
      <c r="B7">
        <v>92500</v>
      </c>
      <c r="D7" s="3" t="s">
        <v>11</v>
      </c>
      <c r="E7">
        <v>123000</v>
      </c>
      <c r="G7" s="3" t="s">
        <v>45</v>
      </c>
      <c r="H7">
        <v>40000</v>
      </c>
    </row>
    <row r="8" spans="1:8" x14ac:dyDescent="0.3">
      <c r="A8" s="3" t="s">
        <v>14</v>
      </c>
      <c r="B8">
        <v>37200</v>
      </c>
      <c r="D8" s="3" t="s">
        <v>15</v>
      </c>
      <c r="E8">
        <v>118500</v>
      </c>
      <c r="G8" s="3" t="s">
        <v>47</v>
      </c>
      <c r="H8">
        <v>32000</v>
      </c>
    </row>
    <row r="9" spans="1:8" x14ac:dyDescent="0.3">
      <c r="A9" s="3" t="s">
        <v>10</v>
      </c>
      <c r="B9">
        <v>25000</v>
      </c>
      <c r="D9" s="3" t="s">
        <v>28</v>
      </c>
      <c r="E9">
        <v>73500</v>
      </c>
      <c r="G9" s="3" t="s">
        <v>43</v>
      </c>
      <c r="H9">
        <v>23500</v>
      </c>
    </row>
    <row r="10" spans="1:8" x14ac:dyDescent="0.3">
      <c r="A10" s="3" t="s">
        <v>32</v>
      </c>
      <c r="B10">
        <v>1153700</v>
      </c>
      <c r="D10" s="3" t="s">
        <v>29</v>
      </c>
      <c r="E10">
        <v>52200</v>
      </c>
      <c r="G10" s="3" t="s">
        <v>44</v>
      </c>
      <c r="H10">
        <v>18000</v>
      </c>
    </row>
    <row r="11" spans="1:8" x14ac:dyDescent="0.3">
      <c r="D11" s="3" t="s">
        <v>17</v>
      </c>
      <c r="E11">
        <v>49800</v>
      </c>
      <c r="G11" s="3" t="s">
        <v>48</v>
      </c>
      <c r="H11">
        <v>12000</v>
      </c>
    </row>
    <row r="12" spans="1:8" x14ac:dyDescent="0.3">
      <c r="D12" s="3" t="s">
        <v>36</v>
      </c>
      <c r="E12">
        <v>49300</v>
      </c>
      <c r="G12" s="3" t="s">
        <v>42</v>
      </c>
      <c r="H12">
        <v>10800</v>
      </c>
    </row>
    <row r="13" spans="1:8" x14ac:dyDescent="0.3">
      <c r="D13" s="3" t="s">
        <v>34</v>
      </c>
      <c r="E13">
        <v>46400</v>
      </c>
      <c r="G13" s="3" t="s">
        <v>32</v>
      </c>
      <c r="H13">
        <v>1153700</v>
      </c>
    </row>
    <row r="14" spans="1:8" x14ac:dyDescent="0.3">
      <c r="D14" s="3" t="s">
        <v>31</v>
      </c>
    </row>
    <row r="15" spans="1:8" x14ac:dyDescent="0.3">
      <c r="D15" s="3" t="s">
        <v>32</v>
      </c>
      <c r="E15">
        <v>1153700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10579-90B6-448E-B82F-B9DFDAA07816}">
  <dimension ref="A1:O2"/>
  <sheetViews>
    <sheetView topLeftCell="A10" zoomScale="102" zoomScaleNormal="102" workbookViewId="0">
      <selection activeCell="O37" sqref="O37"/>
    </sheetView>
  </sheetViews>
  <sheetFormatPr defaultRowHeight="14.4" x14ac:dyDescent="0.3"/>
  <sheetData>
    <row r="1" spans="1:15" ht="14.4" customHeight="1" x14ac:dyDescent="0.3">
      <c r="A1" s="4" t="s">
        <v>49</v>
      </c>
      <c r="B1" s="4"/>
      <c r="C1" s="4"/>
      <c r="D1" s="4"/>
      <c r="E1" s="4"/>
      <c r="F1" s="4"/>
      <c r="G1" s="4"/>
      <c r="H1" s="4"/>
      <c r="I1" s="4"/>
      <c r="J1" s="4"/>
      <c r="K1" s="4"/>
      <c r="L1" s="4"/>
      <c r="M1" s="4"/>
      <c r="N1" s="4"/>
      <c r="O1" s="4"/>
    </row>
    <row r="2" spans="1:15" ht="14.4" customHeight="1" x14ac:dyDescent="0.3">
      <c r="A2" s="4"/>
      <c r="B2" s="4"/>
      <c r="C2" s="4"/>
      <c r="D2" s="4"/>
      <c r="E2" s="4"/>
      <c r="F2" s="4"/>
      <c r="G2" s="4"/>
      <c r="H2" s="4"/>
      <c r="I2" s="4"/>
      <c r="J2" s="4"/>
      <c r="K2" s="4"/>
      <c r="L2" s="4"/>
      <c r="M2" s="4"/>
      <c r="N2" s="4"/>
      <c r="O2" s="4"/>
    </row>
  </sheetData>
  <mergeCells count="1">
    <mergeCell ref="A1:O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kumar</dc:creator>
  <cp:lastModifiedBy>vivek kumar</cp:lastModifiedBy>
  <dcterms:created xsi:type="dcterms:W3CDTF">2026-06-20T10:47:01Z</dcterms:created>
  <dcterms:modified xsi:type="dcterms:W3CDTF">2026-06-21T07:13:30Z</dcterms:modified>
</cp:coreProperties>
</file>